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00E04475-A95D-4806-BD09-420A54D38AA4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Summary" sheetId="1" r:id="rId1"/>
    <sheet name="Technology Primary" sheetId="2" r:id="rId2"/>
    <sheet name="B2B Sales Medium" sheetId="3" r:id="rId3"/>
    <sheet name="Client Revenue Sizing" sheetId="4" r:id="rId4"/>
    <sheet name="Opportunity Sizing" sheetId="5" r:id="rId5"/>
    <sheet name="Business from Client Last Year" sheetId="6" r:id="rId6"/>
    <sheet name="City" sheetId="7" r:id="rId7"/>
    <sheet name="Compete Intel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<sst xmlns="http://schemas.openxmlformats.org/spreadsheetml/2006/main" count="100" uniqueCount="74">
  <si>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TechnoServe - Sales Pipeline Analysis Summary</t>
  </si>
  <si>
    <t>Overall Conversion Rate</t>
  </si>
  <si>
    <t>22.6%</t>
  </si>
  <si>
    <t>Total Opportunities</t>
  </si>
  <si>
    <t>Won</t>
  </si>
  <si>
    <t>Lost</t>
  </si>
  <si>
    <t>Key Findings</t>
  </si>
  <si>
    <t>Best Sales Channel</t>
  </si>
  <si>
    <t>Enterprise Sellers (27.6% conversion)</t>
  </si>
  <si>
    <t>Worst Sales Channel</t>
  </si>
  <si>
    <t>Online Leads (6.5% conversion)</t>
  </si>
  <si>
    <t>Best Technology</t>
  </si>
  <si>
    <t>Analytics (26.3% conversion)</t>
  </si>
  <si>
    <t>Worst Technology</t>
  </si>
  <si>
    <t>Legacy Modernization (12.2% conversion)</t>
  </si>
  <si>
    <t>Prior Relationship Impact</t>
  </si>
  <si>
    <t>Prior clients (0-25K history) convert at 82.6% vs 17.3% for new clients</t>
  </si>
  <si>
    <t>Sweet Spot Opportunity Size</t>
  </si>
  <si>
    <t>10K or less opportunities convert at 39.9%</t>
  </si>
  <si>
    <t>Best City</t>
  </si>
  <si>
    <t>Mumbai (25.4% conversion)</t>
  </si>
  <si>
    <t>Worst City</t>
  </si>
  <si>
    <t>Pune (18.9% conversion)</t>
  </si>
  <si>
    <t>Conversion Rate by Technology Primary</t>
  </si>
  <si>
    <t>Technology Primary</t>
  </si>
  <si>
    <t>Total</t>
  </si>
  <si>
    <t>Conversion Rate (%)</t>
  </si>
  <si>
    <t>Analytics</t>
  </si>
  <si>
    <t>ERP Implementation</t>
  </si>
  <si>
    <t>Legacy Modernization</t>
  </si>
  <si>
    <t>Technical Business Solutions</t>
  </si>
  <si>
    <t>Conversion Rate by B2B Sales Medium</t>
  </si>
  <si>
    <t>B2B Sales Medium</t>
  </si>
  <si>
    <t>Enterprise Sellers</t>
  </si>
  <si>
    <t>Marketing</t>
  </si>
  <si>
    <t>Online Leads</t>
  </si>
  <si>
    <t>Partners</t>
  </si>
  <si>
    <t>Tele Sales</t>
  </si>
  <si>
    <t>Conversion Rate by Client Revenue Sizing</t>
  </si>
  <si>
    <t>Client Revenue Sizing</t>
  </si>
  <si>
    <t>100K or less</t>
  </si>
  <si>
    <t>100K to 250K</t>
  </si>
  <si>
    <t>250K to 500K</t>
  </si>
  <si>
    <t>500K to 1M</t>
  </si>
  <si>
    <t>More than 1M</t>
  </si>
  <si>
    <t>Conversion Rate by Opportunity Sizing</t>
  </si>
  <si>
    <t>Opportunity Sizing</t>
  </si>
  <si>
    <t>10K or less</t>
  </si>
  <si>
    <t>10K to 20K</t>
  </si>
  <si>
    <t>20K to 30K</t>
  </si>
  <si>
    <t>30K to 40K</t>
  </si>
  <si>
    <t>40K to 50K</t>
  </si>
  <si>
    <t>50K to 60K</t>
  </si>
  <si>
    <t>More than 60K</t>
  </si>
  <si>
    <t>Conversion Rate by Business from Client Last Year</t>
  </si>
  <si>
    <t>Business from Client Last Year</t>
  </si>
  <si>
    <t>0 (No business)</t>
  </si>
  <si>
    <t>0 - 25,000</t>
  </si>
  <si>
    <t>25,000 - 50,000</t>
  </si>
  <si>
    <t>50,000 - 100,000</t>
  </si>
  <si>
    <t>More than 100,000</t>
  </si>
  <si>
    <t>Conversion Rate by City</t>
  </si>
  <si>
    <t>City</t>
  </si>
  <si>
    <t>Bengaluru</t>
  </si>
  <si>
    <t>Chennai</t>
  </si>
  <si>
    <t>Delhi</t>
  </si>
  <si>
    <t>Hyderabad</t>
  </si>
  <si>
    <t>Kolkata</t>
  </si>
  <si>
    <t>Mumbai</t>
  </si>
  <si>
    <t>Pune</t>
  </si>
  <si>
    <t>Conversion Rate by Compete Intel</t>
  </si>
  <si>
    <t>Compete Intel</t>
  </si>
  <si>
    <t>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</si>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</sst>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b/>
      <sz val="11"/>
      <color rgb="FF0A6640"/>
      <name val="Calibri"/>
    </font>
    <font>
      <b/>
      <sz val="16"/>
      <color rgb="FF1F3864"/>
      <name val="Calibri"/>
    </font>
    <font>
      <b/>
      <sz val="12"/>
      <name val="Calibri"/>
    </font>
    <font>
      <b/>
      <sz val="14"/>
      <color rgb="FF0A6640"/>
      <name val="Calibri"/>
    </font>
    <font>
      <b/>
      <sz val="13"/>
      <color rgb="FF1F386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Technology Primary</a:t>
            </a:r>
          </a:p>
        </c:rich>
      </c:tx>
      <c:layout>
        <c:manualLayout>
          <c:xMode val="edge"/>
          <c:yMode val="edge"/>
          <c:x val="0.18754947916666664"/>
          <c:y val="3.2443555029254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'Technology Primary'!$A$3:$A$6</c:f>
              <c:strCache>
                <c:ptCount val="4"/>
                <c:pt idx="0">
                  <c:v>Analytics</c:v>
                </c:pt>
                <c:pt idx="1">
                  <c:v>ERP Implementation</c:v>
                </c:pt>
                <c:pt idx="2">
                  <c:v>Legacy Modernization</c:v>
                </c:pt>
                <c:pt idx="3">
                  <c:v>Technical Business Solutions</c:v>
                </c:pt>
              </c:strCache>
            </c:strRef>
          </c:cat>
          <c:val>
            <c:numRef>
              <c:f>'Technology Primary'!$E$3:$E$6</c:f>
              <c:numCache>
                <c:formatCode>General</c:formatCode>
                <c:ptCount val="4"/>
                <c:pt idx="0">
                  <c:v>26.3</c:v>
                </c:pt>
                <c:pt idx="1">
                  <c:v>23.3</c:v>
                </c:pt>
                <c:pt idx="2">
                  <c:v>12.2</c:v>
                </c:pt>
                <c:pt idx="3">
                  <c:v>21.4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E-48A5-B2FB-384B04E0D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33608"/>
        <c:axId val="12635656"/>
      </c:barChart>
      <c:catAx>
        <c:axId val="12633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5656"/>
        <c:crosses val="autoZero"/>
        <c:auto val="1"/>
        <c:lblAlgn val="ctr"/>
        <c:lblOffset val="100"/>
        <c:noMultiLvlLbl val="0"/>
      </c:catAx>
      <c:valAx>
        <c:axId val="1263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B2B Sales Medium (%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'B2B Sales Medium'!$A$3:$A$7</c:f>
              <c:strCache>
                <c:ptCount val="5"/>
                <c:pt idx="0">
                  <c:v>Enterprise Sellers</c:v>
                </c:pt>
                <c:pt idx="1">
                  <c:v>Marketing</c:v>
                </c:pt>
                <c:pt idx="2">
                  <c:v>Online Leads</c:v>
                </c:pt>
                <c:pt idx="3">
                  <c:v>Partners</c:v>
                </c:pt>
                <c:pt idx="4">
                  <c:v>Tele Sales</c:v>
                </c:pt>
              </c:strCache>
            </c:strRef>
          </c:cat>
          <c:val>
            <c:numRef>
              <c:f>'B2B Sales Medium'!$E$3:$E$7</c:f>
              <c:numCache>
                <c:formatCode>General</c:formatCode>
                <c:ptCount val="5"/>
                <c:pt idx="0">
                  <c:v>27.6</c:v>
                </c:pt>
                <c:pt idx="1">
                  <c:v>18.600000000000001</c:v>
                </c:pt>
                <c:pt idx="2">
                  <c:v>6.5</c:v>
                </c:pt>
                <c:pt idx="3">
                  <c:v>18.5</c:v>
                </c:pt>
                <c:pt idx="4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B-4E35-8903-206AB31A4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898952"/>
        <c:axId val="26901000"/>
      </c:barChart>
      <c:catAx>
        <c:axId val="26898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01000"/>
        <c:crosses val="autoZero"/>
        <c:auto val="1"/>
        <c:lblAlgn val="ctr"/>
        <c:lblOffset val="100"/>
        <c:noMultiLvlLbl val="0"/>
      </c:catAx>
      <c:valAx>
        <c:axId val="2690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9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Client Revenue Sizing (%)</a:t>
            </a:r>
          </a:p>
        </c:rich>
      </c:tx>
      <c:layout>
        <c:manualLayout>
          <c:xMode val="edge"/>
          <c:yMode val="edge"/>
          <c:x val="0.1771907560627187"/>
          <c:y val="2.81438634054206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'Client Revenue Sizing'!$A$3:$A$7</c:f>
              <c:strCache>
                <c:ptCount val="5"/>
                <c:pt idx="0">
                  <c:v>100K or less</c:v>
                </c:pt>
                <c:pt idx="1">
                  <c:v>100K to 250K</c:v>
                </c:pt>
                <c:pt idx="2">
                  <c:v>250K to 500K</c:v>
                </c:pt>
                <c:pt idx="3">
                  <c:v>500K to 1M</c:v>
                </c:pt>
                <c:pt idx="4">
                  <c:v>More than 1M</c:v>
                </c:pt>
              </c:strCache>
            </c:strRef>
          </c:cat>
          <c:val>
            <c:numRef>
              <c:f>'Client Revenue Sizing'!$E$3:$E$7</c:f>
              <c:numCache>
                <c:formatCode>General</c:formatCode>
                <c:ptCount val="5"/>
                <c:pt idx="0">
                  <c:v>22.9</c:v>
                </c:pt>
                <c:pt idx="1">
                  <c:v>22.8</c:v>
                </c:pt>
                <c:pt idx="2">
                  <c:v>22.8</c:v>
                </c:pt>
                <c:pt idx="3">
                  <c:v>22.4</c:v>
                </c:pt>
                <c:pt idx="4">
                  <c:v>19.3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3-4741-864D-771B20CE1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44360"/>
        <c:axId val="33446408"/>
      </c:barChart>
      <c:catAx>
        <c:axId val="3344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6408"/>
        <c:crosses val="autoZero"/>
        <c:auto val="1"/>
        <c:lblAlgn val="ctr"/>
        <c:lblOffset val="100"/>
        <c:noMultiLvlLbl val="0"/>
      </c:catAx>
      <c:valAx>
        <c:axId val="3344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Opportunity Sizing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'Opportunity Sizing'!$A$3:$A$9</c:f>
              <c:strCache>
                <c:ptCount val="7"/>
                <c:pt idx="0">
                  <c:v>10K or less</c:v>
                </c:pt>
                <c:pt idx="1">
                  <c:v>10K to 20K</c:v>
                </c:pt>
                <c:pt idx="2">
                  <c:v>20K to 30K</c:v>
                </c:pt>
                <c:pt idx="3">
                  <c:v>30K to 40K</c:v>
                </c:pt>
                <c:pt idx="4">
                  <c:v>40K to 50K</c:v>
                </c:pt>
                <c:pt idx="5">
                  <c:v>50K to 60K</c:v>
                </c:pt>
                <c:pt idx="6">
                  <c:v>More than 60K</c:v>
                </c:pt>
              </c:strCache>
            </c:strRef>
          </c:cat>
          <c:val>
            <c:numRef>
              <c:f>'Opportunity Sizing'!$E$3:$E$9</c:f>
              <c:numCache>
                <c:formatCode>General</c:formatCode>
                <c:ptCount val="7"/>
                <c:pt idx="0">
                  <c:v>39.9</c:v>
                </c:pt>
                <c:pt idx="1">
                  <c:v>26.7</c:v>
                </c:pt>
                <c:pt idx="2">
                  <c:v>24.7</c:v>
                </c:pt>
                <c:pt idx="3">
                  <c:v>17.399999999999999</c:v>
                </c:pt>
                <c:pt idx="4">
                  <c:v>11.7</c:v>
                </c:pt>
                <c:pt idx="5">
                  <c:v>17.3</c:v>
                </c:pt>
                <c:pt idx="6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C-4E3E-970B-08C3C2B07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600776"/>
        <c:axId val="85623304"/>
      </c:barChart>
      <c:catAx>
        <c:axId val="85600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3304"/>
        <c:crosses val="autoZero"/>
        <c:auto val="1"/>
        <c:lblAlgn val="ctr"/>
        <c:lblOffset val="100"/>
        <c:noMultiLvlLbl val="0"/>
      </c:catAx>
      <c:valAx>
        <c:axId val="8562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Business from Client Last Year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from Client Last Year'!$A$3:$A$7</c:f>
              <c:strCache>
                <c:ptCount val="5"/>
                <c:pt idx="0">
                  <c:v>0 (No business)</c:v>
                </c:pt>
                <c:pt idx="1">
                  <c:v>0 - 25,000</c:v>
                </c:pt>
                <c:pt idx="2">
                  <c:v>25,000 - 50,000</c:v>
                </c:pt>
                <c:pt idx="3">
                  <c:v>50,000 - 100,000</c:v>
                </c:pt>
                <c:pt idx="4">
                  <c:v>More than 100,000</c:v>
                </c:pt>
              </c:strCache>
            </c:strRef>
          </c:cat>
          <c:val>
            <c:numRef>
              <c:f>'Business from Client Last Year'!$E$3:$E$7</c:f>
              <c:numCache>
                <c:formatCode>General</c:formatCode>
                <c:ptCount val="5"/>
                <c:pt idx="0">
                  <c:v>17.3</c:v>
                </c:pt>
                <c:pt idx="1">
                  <c:v>82.6</c:v>
                </c:pt>
                <c:pt idx="2">
                  <c:v>73.7</c:v>
                </c:pt>
                <c:pt idx="3">
                  <c:v>61.7</c:v>
                </c:pt>
                <c:pt idx="4">
                  <c:v>46.9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0-4DD0-8238-9E85A9EAB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91752"/>
        <c:axId val="85655048"/>
      </c:barChart>
      <c:catAx>
        <c:axId val="3139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55048"/>
        <c:crosses val="autoZero"/>
        <c:auto val="1"/>
        <c:lblAlgn val="ctr"/>
        <c:lblOffset val="100"/>
        <c:noMultiLvlLbl val="0"/>
      </c:catAx>
      <c:valAx>
        <c:axId val="8565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9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2686050</xdr:colOff>
      <xdr:row>7</xdr:row>
      <xdr:rowOff>171450</xdr:rowOff>
    </xdr:from>
    <xdr:to>
      <xdr:col>4</xdr:col>
      <xdr:colOff>1524000</xdr:colOff>
      <xdr:row>22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E54AC3-4A53-DA09-ED5D-96F1C9AA3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9</xdr:row>
      <xdr:rowOff>95250</xdr:rowOff>
    </xdr:from>
    <xdr:to>
      <xdr:col>5</xdr:col>
      <xdr:colOff>66675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1FC8FF-E2CC-D9FB-B6D3-439F2C246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2809875</xdr:colOff>
      <xdr:row>8</xdr:row>
      <xdr:rowOff>133350</xdr:rowOff>
    </xdr:from>
    <xdr:to>
      <xdr:col>4</xdr:col>
      <xdr:colOff>1447800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968C8-32B1-86D5-B472-C72B4CC14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9</xdr:row>
      <xdr:rowOff>171450</xdr:rowOff>
    </xdr:from>
    <xdr:to>
      <xdr:col>5</xdr:col>
      <xdr:colOff>219075</xdr:colOff>
      <xdr:row>24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E1449-2D8C-7F63-C3E1-46533D502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2733675</xdr:colOff>
      <xdr:row>8</xdr:row>
      <xdr:rowOff>104775</xdr:rowOff>
    </xdr:from>
    <xdr:to>
      <xdr:col>4</xdr:col>
      <xdr:colOff>771525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0315C-504F-B8D7-7719-EBB3CDA3C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workbookViewId="0"/>
  </sheetViews>
  <sheetFormatPr defaultRowHeight="15"/>
  <cols>
    <col min="1" max="1" width="30" customWidth="1"/>
    <col min="2" max="2" width="55" customWidth="1"/>
  </cols>
  <sheetData>
    <row r="1" spans="1:4">
      <c r="A1" s="14" t="s">
        <v>0</v>
      </c>
      <c r="B1" s="13"/>
      <c r="C1" s="13"/>
      <c r="D1" s="13"/>
    </row>
    <row r="3" spans="1:4">
      <c r="A3" s="1" t="s">
        <v>1</v>
      </c>
      <c r="B3" s="2" t="s">
        <v>2</v>
      </c>
    </row>
    <row r="4" spans="1:4">
      <c r="A4" t="s">
        <v>3</v>
      </c>
      <c r="B4">
        <v>78025</v>
      </c>
    </row>
    <row r="5" spans="1:4">
      <c r="A5" t="s">
        <v>4</v>
      </c>
      <c r="B5">
        <v>17627</v>
      </c>
    </row>
    <row r="6" spans="1:4">
      <c r="A6" t="s">
        <v>5</v>
      </c>
      <c r="B6">
        <v>60398</v>
      </c>
    </row>
    <row r="9" spans="1:4">
      <c r="A9" s="3" t="s">
        <v>6</v>
      </c>
    </row>
    <row r="10" spans="1:4">
      <c r="A10" s="4" t="s">
        <v>7</v>
      </c>
      <c r="B10" t="s">
        <v>8</v>
      </c>
    </row>
    <row r="11" spans="1:4">
      <c r="A11" s="4" t="s">
        <v>9</v>
      </c>
      <c r="B11" t="s">
        <v>10</v>
      </c>
    </row>
    <row r="12" spans="1:4">
      <c r="A12" s="4" t="s">
        <v>11</v>
      </c>
      <c r="B12" t="s">
        <v>12</v>
      </c>
    </row>
    <row r="13" spans="1:4">
      <c r="A13" s="4" t="s">
        <v>13</v>
      </c>
      <c r="B13" t="s">
        <v>14</v>
      </c>
    </row>
    <row r="14" spans="1:4">
      <c r="A14" s="4" t="s">
        <v>15</v>
      </c>
      <c r="B14" t="s">
        <v>16</v>
      </c>
    </row>
    <row r="15" spans="1:4">
      <c r="A15" s="4" t="s">
        <v>17</v>
      </c>
      <c r="B15" t="s">
        <v>18</v>
      </c>
    </row>
    <row r="16" spans="1:4">
      <c r="A16" s="4" t="s">
        <v>19</v>
      </c>
      <c r="B16" t="s">
        <v>20</v>
      </c>
    </row>
    <row r="17" spans="1:2">
      <c r="A17" s="4" t="s">
        <v>21</v>
      </c>
      <c r="B17" t="s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showGridLines="0" workbookViewId="0">
      <selection activeCell="J4" sqref="J4"/>
    </sheetView>
  </sheetViews>
  <sheetFormatPr defaultRowHeight="15"/>
  <cols>
    <col min="1" max="1" width="41" customWidth="1"/>
    <col min="2" max="4" width="15" customWidth="1"/>
    <col min="5" max="5" width="23" customWidth="1"/>
  </cols>
  <sheetData>
    <row r="1" spans="1:5">
      <c r="A1" s="12" t="s">
        <v>23</v>
      </c>
      <c r="B1" s="13"/>
      <c r="C1" s="13"/>
      <c r="D1" s="13"/>
      <c r="E1" s="13"/>
    </row>
    <row r="2" spans="1:5">
      <c r="A2" s="5" t="s">
        <v>24</v>
      </c>
      <c r="B2" s="5" t="s">
        <v>25</v>
      </c>
      <c r="C2" s="5" t="s">
        <v>4</v>
      </c>
      <c r="D2" s="5" t="s">
        <v>5</v>
      </c>
      <c r="E2" s="5" t="s">
        <v>26</v>
      </c>
    </row>
    <row r="3" spans="1:5">
      <c r="A3" s="6" t="s">
        <v>27</v>
      </c>
      <c r="B3" s="6">
        <v>281</v>
      </c>
      <c r="C3" s="6">
        <v>74</v>
      </c>
      <c r="D3" s="6">
        <v>207</v>
      </c>
      <c r="E3" s="7">
        <v>26.3</v>
      </c>
    </row>
    <row r="4" spans="1:5">
      <c r="A4" s="8" t="s">
        <v>28</v>
      </c>
      <c r="B4" s="8">
        <v>49810</v>
      </c>
      <c r="C4" s="8">
        <v>11629</v>
      </c>
      <c r="D4" s="8">
        <v>38181</v>
      </c>
      <c r="E4" s="9">
        <v>23.3</v>
      </c>
    </row>
    <row r="5" spans="1:5">
      <c r="A5" s="10" t="s">
        <v>29</v>
      </c>
      <c r="B5" s="10">
        <v>609</v>
      </c>
      <c r="C5" s="10">
        <v>74</v>
      </c>
      <c r="D5" s="10">
        <v>535</v>
      </c>
      <c r="E5" s="11">
        <v>12.2</v>
      </c>
    </row>
    <row r="6" spans="1:5">
      <c r="A6" s="8" t="s">
        <v>30</v>
      </c>
      <c r="B6" s="8">
        <v>27325</v>
      </c>
      <c r="C6" s="8">
        <v>5850</v>
      </c>
      <c r="D6" s="8">
        <v>21475</v>
      </c>
      <c r="E6" s="9">
        <v>21.4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showGridLines="0" workbookViewId="0">
      <selection activeCell="G12" sqref="G12"/>
    </sheetView>
  </sheetViews>
  <sheetFormatPr defaultRowHeight="15"/>
  <cols>
    <col min="1" max="1" width="39" customWidth="1"/>
    <col min="2" max="4" width="15" customWidth="1"/>
    <col min="5" max="5" width="23" customWidth="1"/>
  </cols>
  <sheetData>
    <row r="1" spans="1:5">
      <c r="A1" s="12" t="s">
        <v>31</v>
      </c>
      <c r="B1" s="13"/>
      <c r="C1" s="13"/>
      <c r="D1" s="13"/>
      <c r="E1" s="13"/>
    </row>
    <row r="2" spans="1:5">
      <c r="A2" s="5" t="s">
        <v>32</v>
      </c>
      <c r="B2" s="5" t="s">
        <v>25</v>
      </c>
      <c r="C2" s="5" t="s">
        <v>4</v>
      </c>
      <c r="D2" s="5" t="s">
        <v>5</v>
      </c>
      <c r="E2" s="5" t="s">
        <v>26</v>
      </c>
    </row>
    <row r="3" spans="1:5">
      <c r="A3" s="6" t="s">
        <v>33</v>
      </c>
      <c r="B3" s="6">
        <v>34758</v>
      </c>
      <c r="C3" s="6">
        <v>9584</v>
      </c>
      <c r="D3" s="6">
        <v>25174</v>
      </c>
      <c r="E3" s="7">
        <v>27.6</v>
      </c>
    </row>
    <row r="4" spans="1:5">
      <c r="A4" s="8" t="s">
        <v>34</v>
      </c>
      <c r="B4" s="8">
        <v>37262</v>
      </c>
      <c r="C4" s="8">
        <v>6920</v>
      </c>
      <c r="D4" s="8">
        <v>30342</v>
      </c>
      <c r="E4" s="9">
        <v>18.600000000000001</v>
      </c>
    </row>
    <row r="5" spans="1:5">
      <c r="A5" s="6" t="s">
        <v>35</v>
      </c>
      <c r="B5" s="6">
        <v>619</v>
      </c>
      <c r="C5" s="6">
        <v>40</v>
      </c>
      <c r="D5" s="6">
        <v>579</v>
      </c>
      <c r="E5" s="7">
        <v>6.5</v>
      </c>
    </row>
    <row r="6" spans="1:5">
      <c r="A6" s="8" t="s">
        <v>36</v>
      </c>
      <c r="B6" s="8">
        <v>2856</v>
      </c>
      <c r="C6" s="8">
        <v>529</v>
      </c>
      <c r="D6" s="8">
        <v>2327</v>
      </c>
      <c r="E6" s="9">
        <v>18.5</v>
      </c>
    </row>
    <row r="7" spans="1:5">
      <c r="A7" s="6" t="s">
        <v>37</v>
      </c>
      <c r="B7" s="6">
        <v>2530</v>
      </c>
      <c r="C7" s="6">
        <v>554</v>
      </c>
      <c r="D7" s="6">
        <v>1976</v>
      </c>
      <c r="E7" s="7">
        <v>21.9</v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showGridLines="0" workbookViewId="0">
      <selection activeCell="F10" sqref="F10"/>
    </sheetView>
  </sheetViews>
  <sheetFormatPr defaultRowHeight="15"/>
  <cols>
    <col min="1" max="1" width="44" customWidth="1"/>
    <col min="2" max="4" width="15" customWidth="1"/>
    <col min="5" max="5" width="23" customWidth="1"/>
  </cols>
  <sheetData>
    <row r="1" spans="1:5">
      <c r="A1" s="12" t="s">
        <v>38</v>
      </c>
      <c r="B1" s="13"/>
      <c r="C1" s="13"/>
      <c r="D1" s="13"/>
      <c r="E1" s="13"/>
    </row>
    <row r="2" spans="1:5">
      <c r="A2" s="5" t="s">
        <v>39</v>
      </c>
      <c r="B2" s="5" t="s">
        <v>25</v>
      </c>
      <c r="C2" s="5" t="s">
        <v>4</v>
      </c>
      <c r="D2" s="5" t="s">
        <v>5</v>
      </c>
      <c r="E2" s="5" t="s">
        <v>26</v>
      </c>
    </row>
    <row r="3" spans="1:5">
      <c r="A3" s="6" t="s">
        <v>40</v>
      </c>
      <c r="B3" s="6">
        <v>59504</v>
      </c>
      <c r="C3" s="6">
        <v>13611</v>
      </c>
      <c r="D3" s="6">
        <v>45893</v>
      </c>
      <c r="E3" s="7">
        <v>22.9</v>
      </c>
    </row>
    <row r="4" spans="1:5">
      <c r="A4" s="8" t="s">
        <v>41</v>
      </c>
      <c r="B4" s="8">
        <v>3841</v>
      </c>
      <c r="C4" s="8">
        <v>874</v>
      </c>
      <c r="D4" s="8">
        <v>2967</v>
      </c>
      <c r="E4" s="9">
        <v>22.8</v>
      </c>
    </row>
    <row r="5" spans="1:5">
      <c r="A5" s="6" t="s">
        <v>42</v>
      </c>
      <c r="B5" s="6">
        <v>4756</v>
      </c>
      <c r="C5" s="6">
        <v>1083</v>
      </c>
      <c r="D5" s="6">
        <v>3673</v>
      </c>
      <c r="E5" s="7">
        <v>22.8</v>
      </c>
    </row>
    <row r="6" spans="1:5">
      <c r="A6" s="8" t="s">
        <v>43</v>
      </c>
      <c r="B6" s="8">
        <v>4636</v>
      </c>
      <c r="C6" s="8">
        <v>1038</v>
      </c>
      <c r="D6" s="8">
        <v>3598</v>
      </c>
      <c r="E6" s="9">
        <v>22.4</v>
      </c>
    </row>
    <row r="7" spans="1:5">
      <c r="A7" s="6" t="s">
        <v>44</v>
      </c>
      <c r="B7" s="6">
        <v>5288</v>
      </c>
      <c r="C7" s="6">
        <v>1021</v>
      </c>
      <c r="D7" s="6">
        <v>4267</v>
      </c>
      <c r="E7" s="7">
        <v>19.3</v>
      </c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showGridLines="0" workbookViewId="0">
      <selection activeCell="E9" activeCellId="13" sqref="A3 A9 A4 A5 A6 A7 A8 E3 E4 E5 E7 E6 E8 E9"/>
    </sheetView>
  </sheetViews>
  <sheetFormatPr defaultRowHeight="15"/>
  <cols>
    <col min="1" max="1" width="41" customWidth="1"/>
    <col min="2" max="4" width="15" customWidth="1"/>
    <col min="5" max="5" width="23" customWidth="1"/>
  </cols>
  <sheetData>
    <row r="1" spans="1:5">
      <c r="A1" s="12" t="s">
        <v>45</v>
      </c>
      <c r="B1" s="13"/>
      <c r="C1" s="13"/>
      <c r="D1" s="13"/>
      <c r="E1" s="13"/>
    </row>
    <row r="2" spans="1:5">
      <c r="A2" s="5" t="s">
        <v>46</v>
      </c>
      <c r="B2" s="5" t="s">
        <v>25</v>
      </c>
      <c r="C2" s="5" t="s">
        <v>4</v>
      </c>
      <c r="D2" s="5" t="s">
        <v>5</v>
      </c>
      <c r="E2" s="5" t="s">
        <v>26</v>
      </c>
    </row>
    <row r="3" spans="1:5">
      <c r="A3" s="6" t="s">
        <v>47</v>
      </c>
      <c r="B3" s="6">
        <v>12095</v>
      </c>
      <c r="C3" s="6">
        <v>4831</v>
      </c>
      <c r="D3" s="6">
        <v>7264</v>
      </c>
      <c r="E3" s="7">
        <v>39.9</v>
      </c>
    </row>
    <row r="4" spans="1:5">
      <c r="A4" s="8" t="s">
        <v>48</v>
      </c>
      <c r="B4" s="8">
        <v>15123</v>
      </c>
      <c r="C4" s="8">
        <v>4044</v>
      </c>
      <c r="D4" s="8">
        <v>11079</v>
      </c>
      <c r="E4" s="9">
        <v>26.7</v>
      </c>
    </row>
    <row r="5" spans="1:5">
      <c r="A5" s="6" t="s">
        <v>49</v>
      </c>
      <c r="B5" s="6">
        <v>11968</v>
      </c>
      <c r="C5" s="6">
        <v>2952</v>
      </c>
      <c r="D5" s="6">
        <v>9016</v>
      </c>
      <c r="E5" s="7">
        <v>24.7</v>
      </c>
    </row>
    <row r="6" spans="1:5">
      <c r="A6" s="8" t="s">
        <v>50</v>
      </c>
      <c r="B6" s="8">
        <v>13628</v>
      </c>
      <c r="C6" s="8">
        <v>2366</v>
      </c>
      <c r="D6" s="8">
        <v>11262</v>
      </c>
      <c r="E6" s="9">
        <v>17.399999999999999</v>
      </c>
    </row>
    <row r="7" spans="1:5">
      <c r="A7" s="6" t="s">
        <v>51</v>
      </c>
      <c r="B7" s="6">
        <v>18074</v>
      </c>
      <c r="C7" s="6">
        <v>2120</v>
      </c>
      <c r="D7" s="6">
        <v>15954</v>
      </c>
      <c r="E7" s="7">
        <v>11.7</v>
      </c>
    </row>
    <row r="8" spans="1:5">
      <c r="A8" s="8" t="s">
        <v>52</v>
      </c>
      <c r="B8" s="8">
        <v>4934</v>
      </c>
      <c r="C8" s="8">
        <v>852</v>
      </c>
      <c r="D8" s="8">
        <v>4082</v>
      </c>
      <c r="E8" s="9">
        <v>17.3</v>
      </c>
    </row>
    <row r="9" spans="1:5">
      <c r="A9" s="6" t="s">
        <v>53</v>
      </c>
      <c r="B9" s="6">
        <v>2203</v>
      </c>
      <c r="C9" s="6">
        <v>462</v>
      </c>
      <c r="D9" s="6">
        <v>1741</v>
      </c>
      <c r="E9" s="7">
        <v>21</v>
      </c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tabSelected="1" workbookViewId="0">
      <selection activeCell="G10" sqref="G10"/>
    </sheetView>
  </sheetViews>
  <sheetFormatPr defaultRowHeight="15"/>
  <cols>
    <col min="1" max="1" width="53" customWidth="1"/>
    <col min="2" max="4" width="15" customWidth="1"/>
    <col min="5" max="5" width="23" customWidth="1"/>
  </cols>
  <sheetData>
    <row r="1" spans="1:5">
      <c r="A1" s="12" t="s">
        <v>54</v>
      </c>
      <c r="B1" s="13"/>
      <c r="C1" s="13"/>
      <c r="D1" s="13"/>
      <c r="E1" s="13"/>
    </row>
    <row r="2" spans="1:5">
      <c r="A2" s="5" t="s">
        <v>55</v>
      </c>
      <c r="B2" s="5" t="s">
        <v>25</v>
      </c>
      <c r="C2" s="5" t="s">
        <v>4</v>
      </c>
      <c r="D2" s="5" t="s">
        <v>5</v>
      </c>
      <c r="E2" s="5" t="s">
        <v>26</v>
      </c>
    </row>
    <row r="3" spans="1:5">
      <c r="A3" s="6" t="s">
        <v>56</v>
      </c>
      <c r="B3" s="6">
        <v>69208</v>
      </c>
      <c r="C3" s="6">
        <v>11989</v>
      </c>
      <c r="D3" s="6">
        <v>57219</v>
      </c>
      <c r="E3" s="7">
        <v>17.3</v>
      </c>
    </row>
    <row r="4" spans="1:5">
      <c r="A4" s="8" t="s">
        <v>57</v>
      </c>
      <c r="B4" s="8">
        <v>1782</v>
      </c>
      <c r="C4" s="8">
        <v>1472</v>
      </c>
      <c r="D4" s="8">
        <v>310</v>
      </c>
      <c r="E4" s="9">
        <v>82.6</v>
      </c>
    </row>
    <row r="5" spans="1:5">
      <c r="A5" s="6" t="s">
        <v>58</v>
      </c>
      <c r="B5" s="6">
        <v>2083</v>
      </c>
      <c r="C5" s="6">
        <v>1535</v>
      </c>
      <c r="D5" s="6">
        <v>548</v>
      </c>
      <c r="E5" s="7">
        <v>73.7</v>
      </c>
    </row>
    <row r="6" spans="1:5">
      <c r="A6" s="8" t="s">
        <v>59</v>
      </c>
      <c r="B6" s="8">
        <v>2092</v>
      </c>
      <c r="C6" s="8">
        <v>1291</v>
      </c>
      <c r="D6" s="8">
        <v>801</v>
      </c>
      <c r="E6" s="9">
        <v>61.7</v>
      </c>
    </row>
    <row r="7" spans="1:5">
      <c r="A7" s="6" t="s">
        <v>60</v>
      </c>
      <c r="B7" s="6">
        <v>2860</v>
      </c>
      <c r="C7" s="6">
        <v>1340</v>
      </c>
      <c r="D7" s="6">
        <v>1520</v>
      </c>
      <c r="E7" s="7">
        <v>46.9</v>
      </c>
    </row>
  </sheetData>
  <mergeCells count="1">
    <mergeCell ref="A1:E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workbookViewId="0"/>
  </sheetViews>
  <sheetFormatPr defaultRowHeight="15"/>
  <cols>
    <col min="1" max="1" width="27" customWidth="1"/>
    <col min="2" max="4" width="15" customWidth="1"/>
    <col min="5" max="5" width="23" customWidth="1"/>
  </cols>
  <sheetData>
    <row r="1" spans="1:5">
      <c r="A1" s="12" t="s">
        <v>61</v>
      </c>
      <c r="B1" s="13"/>
      <c r="C1" s="13"/>
      <c r="D1" s="13"/>
      <c r="E1" s="13"/>
    </row>
    <row r="2" spans="1:5">
      <c r="A2" s="5" t="s">
        <v>62</v>
      </c>
      <c r="B2" s="5" t="s">
        <v>25</v>
      </c>
      <c r="C2" s="5" t="s">
        <v>4</v>
      </c>
      <c r="D2" s="5" t="s">
        <v>5</v>
      </c>
      <c r="E2" s="5" t="s">
        <v>26</v>
      </c>
    </row>
    <row r="3" spans="1:5">
      <c r="A3" s="6" t="s">
        <v>63</v>
      </c>
      <c r="B3" s="6">
        <v>9552</v>
      </c>
      <c r="C3" s="6">
        <v>2074</v>
      </c>
      <c r="D3" s="6">
        <v>7478</v>
      </c>
      <c r="E3" s="7">
        <v>21.7</v>
      </c>
    </row>
    <row r="4" spans="1:5">
      <c r="A4" s="8" t="s">
        <v>64</v>
      </c>
      <c r="B4" s="8">
        <v>7568</v>
      </c>
      <c r="C4" s="8">
        <v>1651</v>
      </c>
      <c r="D4" s="8">
        <v>5917</v>
      </c>
      <c r="E4" s="9">
        <v>21.8</v>
      </c>
    </row>
    <row r="5" spans="1:5">
      <c r="A5" s="6" t="s">
        <v>65</v>
      </c>
      <c r="B5" s="6">
        <v>15142</v>
      </c>
      <c r="C5" s="6">
        <v>3444</v>
      </c>
      <c r="D5" s="6">
        <v>11698</v>
      </c>
      <c r="E5" s="7">
        <v>22.7</v>
      </c>
    </row>
    <row r="6" spans="1:5">
      <c r="A6" s="8" t="s">
        <v>66</v>
      </c>
      <c r="B6" s="8">
        <v>9232</v>
      </c>
      <c r="C6" s="8">
        <v>2021</v>
      </c>
      <c r="D6" s="8">
        <v>7211</v>
      </c>
      <c r="E6" s="9">
        <v>21.9</v>
      </c>
    </row>
    <row r="7" spans="1:5">
      <c r="A7" s="6" t="s">
        <v>67</v>
      </c>
      <c r="B7" s="6">
        <v>7358</v>
      </c>
      <c r="C7" s="6">
        <v>1565</v>
      </c>
      <c r="D7" s="6">
        <v>5793</v>
      </c>
      <c r="E7" s="7">
        <v>21.3</v>
      </c>
    </row>
    <row r="8" spans="1:5">
      <c r="A8" s="8" t="s">
        <v>68</v>
      </c>
      <c r="B8" s="8">
        <v>21020</v>
      </c>
      <c r="C8" s="8">
        <v>5333</v>
      </c>
      <c r="D8" s="8">
        <v>15687</v>
      </c>
      <c r="E8" s="9">
        <v>25.4</v>
      </c>
    </row>
    <row r="9" spans="1:5">
      <c r="A9" s="6" t="s">
        <v>69</v>
      </c>
      <c r="B9" s="6">
        <v>8153</v>
      </c>
      <c r="C9" s="6">
        <v>1539</v>
      </c>
      <c r="D9" s="6">
        <v>6614</v>
      </c>
      <c r="E9" s="7">
        <v>18.899999999999999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showGridLines="0" workbookViewId="0"/>
  </sheetViews>
  <sheetFormatPr defaultRowHeight="15"/>
  <cols>
    <col min="1" max="1" width="36" customWidth="1"/>
    <col min="2" max="4" width="15" customWidth="1"/>
    <col min="5" max="5" width="23" customWidth="1"/>
  </cols>
  <sheetData>
    <row r="1" spans="1:5">
      <c r="A1" s="12" t="s">
        <v>70</v>
      </c>
      <c r="B1" s="13"/>
      <c r="C1" s="13"/>
      <c r="D1" s="13"/>
      <c r="E1" s="13"/>
    </row>
    <row r="2" spans="1:5">
      <c r="A2" s="5" t="s">
        <v>71</v>
      </c>
      <c r="B2" s="5" t="s">
        <v>25</v>
      </c>
      <c r="C2" s="5" t="s">
        <v>4</v>
      </c>
      <c r="D2" s="5" t="s">
        <v>5</v>
      </c>
      <c r="E2" s="5" t="s">
        <v>26</v>
      </c>
    </row>
    <row r="3" spans="1:5">
      <c r="A3" s="6" t="s">
        <v>72</v>
      </c>
      <c r="B3" s="6">
        <v>12044</v>
      </c>
      <c r="C3" s="6">
        <v>2346</v>
      </c>
      <c r="D3" s="6">
        <v>9698</v>
      </c>
      <c r="E3" s="7">
        <v>19.5</v>
      </c>
    </row>
    <row r="4" spans="1:5">
      <c r="A4" s="8" t="s">
        <v>73</v>
      </c>
      <c r="B4" s="8">
        <v>56724</v>
      </c>
      <c r="C4" s="8">
        <v>12351</v>
      </c>
      <c r="D4" s="8">
        <v>44373</v>
      </c>
      <c r="E4" s="9">
        <v>21.8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2026-05-31T13:26:18Z</dcterms:created>
  <dcterms:modified xsi:type="dcterms:W3CDTF">2026-06-07T14:31:49Z</dcterms:modified>
  <cp:category/>
  <cp:contentStatus/>
</cp:coreProperties>
</file>